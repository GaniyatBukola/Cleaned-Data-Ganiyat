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575E5C-536D-4EF8-A078-3E32D243959E}" xr6:coauthVersionLast="47" xr6:coauthVersionMax="47" xr10:uidLastSave="{00000000-0000-0000-0000-000000000000}"/>
  <bookViews>
    <workbookView xWindow="0" yWindow="0" windowWidth="20490" windowHeight="10920" tabRatio="808" firstSheet="3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9" l="1"/>
  <c r="C23" i="8"/>
  <c r="C19" i="8"/>
  <c r="C15" i="8"/>
  <c r="C11" i="8"/>
  <c r="A29" i="7"/>
  <c r="C5" i="8"/>
  <c r="C4" i="8"/>
  <c r="C3" i="8"/>
  <c r="C2" i="8"/>
  <c r="A5" i="10"/>
  <c r="A2" i="10"/>
  <c r="B3" i="11"/>
  <c r="A2" i="11"/>
  <c r="A15" i="7"/>
  <c r="A11" i="7"/>
  <c r="A7" i="7"/>
  <c r="A3" i="7"/>
  <c r="F10" i="6"/>
  <c r="F9" i="6"/>
  <c r="F8" i="6"/>
  <c r="F7" i="6"/>
  <c r="F3" i="6"/>
  <c r="F2" i="6"/>
  <c r="E12" i="5"/>
  <c r="E11" i="5"/>
  <c r="E10" i="5"/>
  <c r="E7" i="5"/>
  <c r="E6" i="5"/>
  <c r="E5" i="5"/>
  <c r="E4" i="5"/>
  <c r="E3" i="5"/>
  <c r="E2" i="5"/>
  <c r="B5" i="4"/>
  <c r="C5" i="12"/>
  <c r="D5" i="12"/>
  <c r="B5" i="12"/>
  <c r="E3" i="12"/>
  <c r="E4" i="12"/>
  <c r="E2" i="12"/>
  <c r="C4" i="12"/>
  <c r="D4" i="12"/>
  <c r="B4" i="12"/>
  <c r="A3" i="11"/>
  <c r="B4" i="11"/>
  <c r="A1" i="11"/>
  <c r="B4" i="4"/>
</calcChain>
</file>

<file path=xl/sharedStrings.xml><?xml version="1.0" encoding="utf-8"?>
<sst xmlns="http://schemas.openxmlformats.org/spreadsheetml/2006/main" count="149" uniqueCount="72">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</sst>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30" zoomScaleNormal="130" workbookViewId="0">
      <selection activeCell="B9" sqref="B9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 t="shared" ref="E3:E4" si="0">SUM(B3:D3)</f>
        <v>9</v>
      </c>
    </row>
    <row r="4" spans="1:7" x14ac:dyDescent="0.25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 t="shared" si="0"/>
        <v>14</v>
      </c>
    </row>
    <row r="5" spans="1:7" x14ac:dyDescent="0.25">
      <c r="A5" s="2" t="s">
        <v>8</v>
      </c>
      <c r="B5">
        <f>B4*$G$2</f>
        <v>0.60000000000000009</v>
      </c>
      <c r="C5">
        <f t="shared" ref="C5:D5" si="2">C4*$G$2</f>
        <v>0.5</v>
      </c>
      <c r="D5">
        <f t="shared" si="2"/>
        <v>0.30000000000000004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106" zoomScaleNormal="106" workbookViewId="0">
      <selection activeCell="B3" sqref="B3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54" zoomScaleNormal="154" workbookViewId="0">
      <selection activeCell="C5" sqref="C5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B4*D2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36" zoomScaleNormal="136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SUM(B:B)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MAX(B:B)</f>
        <v>97</v>
      </c>
    </row>
    <row r="4" spans="1:5" x14ac:dyDescent="0.25">
      <c r="A4" t="s">
        <v>2</v>
      </c>
      <c r="B4">
        <v>67</v>
      </c>
      <c r="D4" t="s">
        <v>17</v>
      </c>
      <c r="E4">
        <f>MIN(B:B)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LARGE(B:B,2)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SMALL(B:B,2)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COUNT(B:B)</f>
        <v>7</v>
      </c>
    </row>
    <row r="8" spans="1:5" x14ac:dyDescent="0.25">
      <c r="A8" t="s">
        <v>24</v>
      </c>
      <c r="B8">
        <v>36</v>
      </c>
    </row>
    <row r="10" spans="1:5" x14ac:dyDescent="0.25">
      <c r="D10" t="s">
        <v>25</v>
      </c>
      <c r="E10">
        <f>AVERAGE(B:B)</f>
        <v>60.142857142857146</v>
      </c>
    </row>
    <row r="11" spans="1:5" x14ac:dyDescent="0.25">
      <c r="D11" t="s">
        <v>26</v>
      </c>
      <c r="E11">
        <f>MEDIAN(B:B)</f>
        <v>52</v>
      </c>
    </row>
    <row r="12" spans="1:5" x14ac:dyDescent="0.25">
      <c r="D12" t="s">
        <v>27</v>
      </c>
      <c r="E12">
        <f>MODE(B:B)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130" zoomScaleNormal="130" workbookViewId="0">
      <selection activeCell="E14" sqref="E14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  <c r="F3">
        <f>SUMIFS(C:C,B:B,B3,A:A,A2)</f>
        <v>28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  <c r="F7">
        <f>AVERAGEIF(B:B,B3,C:C)</f>
        <v>51.714285714285715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  <c r="F8">
        <f>AVERAGEIFS(C:C,B:B,B9,A:A,A3)</f>
        <v>32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  <c r="F9">
        <f>COUNTIF(A:A,A3)</f>
        <v>3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  <c r="F10">
        <f>COUNTIFS(A:A,A11,B:B,B16)</f>
        <v>1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1"/>
  <sheetViews>
    <sheetView topLeftCell="A19" zoomScale="124" zoomScaleNormal="124" workbookViewId="0">
      <selection activeCell="A19" sqref="A19"/>
    </sheetView>
  </sheetViews>
  <sheetFormatPr defaultRowHeight="15" x14ac:dyDescent="0.25"/>
  <cols>
    <col min="1" max="1" width="48.28515625" bestFit="1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CONCATENATE(A10," ",B10,"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 B14&amp;C14</f>
        <v>KevinCookieCompany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21" spans="1:3" x14ac:dyDescent="0.25">
      <c r="A21" s="2" t="s">
        <v>50</v>
      </c>
    </row>
    <row r="22" spans="1:3" x14ac:dyDescent="0.25">
      <c r="A22" t="s">
        <v>51</v>
      </c>
    </row>
    <row r="24" spans="1:3" x14ac:dyDescent="0.25">
      <c r="A24" s="2"/>
    </row>
    <row r="25" spans="1:3" x14ac:dyDescent="0.25">
      <c r="A25" t="s">
        <v>52</v>
      </c>
    </row>
    <row r="27" spans="1:3" x14ac:dyDescent="0.25">
      <c r="A27" s="2" t="s">
        <v>53</v>
      </c>
    </row>
    <row r="28" spans="1:3" x14ac:dyDescent="0.25">
      <c r="A28" s="5" t="s">
        <v>54</v>
      </c>
    </row>
    <row r="29" spans="1:3" x14ac:dyDescent="0.25">
      <c r="A29">
        <f>FIND("@",A28)</f>
        <v>4</v>
      </c>
    </row>
    <row r="31" spans="1:3" x14ac:dyDescent="0.25">
      <c r="A31" s="2" t="s">
        <v>55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6" zoomScale="145" zoomScaleNormal="145" workbookViewId="0">
      <selection activeCell="C26" sqref="C26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56</v>
      </c>
    </row>
    <row r="2" spans="1:3" x14ac:dyDescent="0.25">
      <c r="A2" t="s">
        <v>52</v>
      </c>
      <c r="B2" t="s">
        <v>57</v>
      </c>
      <c r="C2" t="b">
        <f>A2=B2</f>
        <v>0</v>
      </c>
    </row>
    <row r="3" spans="1:3" x14ac:dyDescent="0.25">
      <c r="A3">
        <v>10</v>
      </c>
      <c r="B3">
        <v>5</v>
      </c>
      <c r="C3" t="b">
        <f>A3&gt;B3</f>
        <v>1</v>
      </c>
    </row>
    <row r="4" spans="1:3" x14ac:dyDescent="0.25">
      <c r="B4">
        <v>11</v>
      </c>
      <c r="C4" t="b">
        <f>A3&lt;B4</f>
        <v>1</v>
      </c>
    </row>
    <row r="5" spans="1:3" x14ac:dyDescent="0.25">
      <c r="C5" t="b">
        <f>A3&lt;B3</f>
        <v>0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58</v>
      </c>
    </row>
    <row r="10" spans="1:3" x14ac:dyDescent="0.25">
      <c r="A10" t="s">
        <v>0</v>
      </c>
      <c r="B10">
        <v>97</v>
      </c>
      <c r="C10" t="s">
        <v>59</v>
      </c>
    </row>
    <row r="11" spans="1:3" x14ac:dyDescent="0.2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60</v>
      </c>
    </row>
    <row r="14" spans="1:3" x14ac:dyDescent="0.25">
      <c r="C14" t="s">
        <v>61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62</v>
      </c>
    </row>
    <row r="18" spans="1:5" x14ac:dyDescent="0.25">
      <c r="C18" t="s">
        <v>63</v>
      </c>
    </row>
    <row r="19" spans="1:5" x14ac:dyDescent="0.25">
      <c r="C19" t="str">
        <f>IF(OR(B10&gt;B11,B10&gt;B12),"yes","no")</f>
        <v>no</v>
      </c>
    </row>
    <row r="21" spans="1:5" x14ac:dyDescent="0.25">
      <c r="A21" s="2" t="s">
        <v>64</v>
      </c>
      <c r="B21" s="2" t="s">
        <v>65</v>
      </c>
      <c r="C21" s="2" t="s">
        <v>66</v>
      </c>
    </row>
    <row r="22" spans="1:5" x14ac:dyDescent="0.25">
      <c r="A22" t="s">
        <v>0</v>
      </c>
      <c r="B22">
        <v>10</v>
      </c>
      <c r="C22" t="s">
        <v>67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IF(E22=A22,B22,IF(E22=A23,B23,IF(E22=A24,B24)))</f>
        <v>5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6"/>
  <sheetViews>
    <sheetView zoomScale="145" zoomScaleNormal="145" workbookViewId="0">
      <selection activeCell="G7" sqref="G7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64</v>
      </c>
      <c r="B1" s="2" t="s">
        <v>65</v>
      </c>
      <c r="C1" s="2" t="s">
        <v>6</v>
      </c>
      <c r="D1" s="2"/>
      <c r="E1" s="2" t="s">
        <v>68</v>
      </c>
    </row>
    <row r="2" spans="1:6" x14ac:dyDescent="0.25">
      <c r="A2" t="s">
        <v>0</v>
      </c>
      <c r="B2">
        <v>10</v>
      </c>
      <c r="C2">
        <v>4</v>
      </c>
      <c r="E2" t="s">
        <v>67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69</v>
      </c>
    </row>
    <row r="6" spans="1:6" x14ac:dyDescent="0.25">
      <c r="E6" t="s">
        <v>67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124" zoomScaleNormal="124" workbookViewId="0">
      <selection activeCell="A6" sqref="A6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70</v>
      </c>
    </row>
    <row r="2" spans="1:1" x14ac:dyDescent="0.25">
      <c r="A2" s="6">
        <f ca="1">TODAY()</f>
        <v>46107</v>
      </c>
    </row>
    <row r="4" spans="1:1" x14ac:dyDescent="0.25">
      <c r="A4" s="2" t="s">
        <v>71</v>
      </c>
    </row>
    <row r="5" spans="1:1" x14ac:dyDescent="0.25">
      <c r="A5" s="7">
        <f ca="1">NOW()</f>
        <v>46107.424659259261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154" zoomScaleNormal="154" workbookViewId="0">
      <selection activeCell="F5" sqref="F5"/>
    </sheetView>
  </sheetViews>
  <sheetFormatPr defaultRowHeight="15" x14ac:dyDescent="0.25"/>
  <sheetData>
    <row r="1" spans="1:2" x14ac:dyDescent="0.25">
      <c r="A1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4+C22</f>
        <v>4</v>
      </c>
    </row>
    <row r="4" spans="1:2" x14ac:dyDescent="0.25">
      <c r="A4">
        <v>3</v>
      </c>
      <c r="B4" s="8">
        <f>B3+A3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Ganiyat Abdulganiyu</cp:lastModifiedBy>
  <cp:revision/>
  <dcterms:created xsi:type="dcterms:W3CDTF">2022-05-10T22:30:35Z</dcterms:created>
  <dcterms:modified xsi:type="dcterms:W3CDTF">2026-03-26T18:14:42Z</dcterms:modified>
  <cp:category/>
  <cp:contentStatus/>
</cp:coreProperties>
</file>